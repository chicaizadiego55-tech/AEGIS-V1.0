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ISMAC\COMPETENCIA TEC SUCRE\"/>
    </mc:Choice>
  </mc:AlternateContent>
  <xr:revisionPtr revIDLastSave="0" documentId="13_ncr:1_{653BC933-03DC-4E08-8321-030CB9853B9C}" xr6:coauthVersionLast="47" xr6:coauthVersionMax="47" xr10:uidLastSave="{00000000-0000-0000-0000-000000000000}"/>
  <bookViews>
    <workbookView xWindow="-108" yWindow="-108" windowWidth="23256" windowHeight="12456" firstSheet="1" activeTab="3" xr2:uid="{6FCD8CB6-8E4A-4D63-B30D-CAD0910A959A}"/>
  </bookViews>
  <sheets>
    <sheet name="MATRIZ DE RESULTADOS ODS4" sheetId="1" r:id="rId1"/>
    <sheet name="MATRIZ DE RESULTADOS ODS10" sheetId="2" r:id="rId2"/>
    <sheet name="MATRIZ DE RESULTADOS ODS12" sheetId="3" r:id="rId3"/>
    <sheet name="MATRIZ DE RESULTADOS ODS1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4" l="1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  <c r="B14" i="2" l="1"/>
  <c r="B12" i="4"/>
  <c r="B14" i="4" s="1"/>
  <c r="B13" i="4"/>
  <c r="B13" i="3"/>
  <c r="B15" i="3" s="1"/>
  <c r="B14" i="3"/>
  <c r="B13" i="2"/>
  <c r="B15" i="2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  <c r="B13" i="1" l="1"/>
  <c r="B12" i="1"/>
  <c r="B14" i="1" s="1"/>
</calcChain>
</file>

<file path=xl/sharedStrings.xml><?xml version="1.0" encoding="utf-8"?>
<sst xmlns="http://schemas.openxmlformats.org/spreadsheetml/2006/main" count="460" uniqueCount="59">
  <si>
    <t>Indicador</t>
  </si>
  <si>
    <t>Sí</t>
  </si>
  <si>
    <t>No</t>
  </si>
  <si>
    <t>El niño completó correctamente la actividad de reconocimiento de colores.</t>
  </si>
  <si>
    <t>☐</t>
  </si>
  <si>
    <t>Colocó correctamente las tarjetas en el tablero.</t>
  </si>
  <si>
    <t>Mostró interés durante toda la actividad.</t>
  </si>
  <si>
    <r>
      <t xml:space="preserve">Considera que el niño </t>
    </r>
    <r>
      <rPr>
        <b/>
        <sz val="11"/>
        <color theme="1"/>
        <rFont val="Calibri"/>
        <family val="2"/>
        <scheme val="minor"/>
      </rPr>
      <t>aprueba el indicador</t>
    </r>
    <r>
      <rPr>
        <sz val="11"/>
        <color theme="1"/>
        <rFont val="Calibri"/>
        <family val="2"/>
        <scheme val="minor"/>
      </rPr>
      <t xml:space="preserve"> si cumple </t>
    </r>
    <r>
      <rPr>
        <b/>
        <sz val="11"/>
        <color theme="1"/>
        <rFont val="Calibri"/>
        <family val="2"/>
        <scheme val="minor"/>
      </rPr>
      <t>al menos 4 de los 5 criterios</t>
    </r>
    <r>
      <rPr>
        <sz val="11"/>
        <color theme="1"/>
        <rFont val="Calibri"/>
        <family val="2"/>
        <scheme val="minor"/>
      </rPr>
      <t>.</t>
    </r>
  </si>
  <si>
    <t>Participante</t>
  </si>
  <si>
    <t>Niño 1</t>
  </si>
  <si>
    <t>Niño 2</t>
  </si>
  <si>
    <t>Niño 3</t>
  </si>
  <si>
    <t>Niño 4</t>
  </si>
  <si>
    <t>Niño 5</t>
  </si>
  <si>
    <t>Niño 6</t>
  </si>
  <si>
    <t>Niño 7</t>
  </si>
  <si>
    <t>Niño 8</t>
  </si>
  <si>
    <t>Niño 9</t>
  </si>
  <si>
    <t>Niño 10</t>
  </si>
  <si>
    <t>Niño 11</t>
  </si>
  <si>
    <t>Niño 12</t>
  </si>
  <si>
    <t>Niño 13</t>
  </si>
  <si>
    <t>Niño 14</t>
  </si>
  <si>
    <t>Niño 15</t>
  </si>
  <si>
    <t>Niño 16</t>
  </si>
  <si>
    <t>Niño 17</t>
  </si>
  <si>
    <t>Niño 18</t>
  </si>
  <si>
    <t>Niño 19</t>
  </si>
  <si>
    <t>Niño 20</t>
  </si>
  <si>
    <t>C1</t>
  </si>
  <si>
    <t>C2</t>
  </si>
  <si>
    <t>C3</t>
  </si>
  <si>
    <t>C4</t>
  </si>
  <si>
    <t>CUMPLE ODS 4</t>
  </si>
  <si>
    <t>✘</t>
  </si>
  <si>
    <t>✔</t>
  </si>
  <si>
    <t>TABULACION DE DATOS</t>
  </si>
  <si>
    <t>CUMPLE</t>
  </si>
  <si>
    <t>NO CUMPLE</t>
  </si>
  <si>
    <t>PORCENTAJE</t>
  </si>
  <si>
    <t>El niño pudo utilizar el robot sin ayuda constante.</t>
  </si>
  <si>
    <t>Comprendió las instrucciones del robot.</t>
  </si>
  <si>
    <t>Interactuó de forma natural con el sistema.</t>
  </si>
  <si>
    <t>Participó activamente durante toda la actividad.</t>
  </si>
  <si>
    <t>Colocó correctamente cada residuo en el contenedor correspondiente.</t>
  </si>
  <si>
    <r>
      <t xml:space="preserve">Considera que el niño </t>
    </r>
    <r>
      <rPr>
        <b/>
        <sz val="11"/>
        <color theme="1"/>
        <rFont val="Calibri"/>
        <family val="2"/>
        <scheme val="minor"/>
      </rPr>
      <t>aprueba el indicador</t>
    </r>
    <r>
      <rPr>
        <sz val="11"/>
        <color theme="1"/>
        <rFont val="Calibri"/>
        <family val="2"/>
        <scheme val="minor"/>
      </rPr>
      <t xml:space="preserve"> si cumple </t>
    </r>
    <r>
      <rPr>
        <b/>
        <sz val="11"/>
        <color theme="1"/>
        <rFont val="Calibri"/>
        <family val="2"/>
        <scheme val="minor"/>
      </rPr>
      <t>al menos 2 de los 3 criterios</t>
    </r>
    <r>
      <rPr>
        <sz val="11"/>
        <color theme="1"/>
        <rFont val="Calibri"/>
        <family val="2"/>
        <scheme val="minor"/>
      </rPr>
      <t>.</t>
    </r>
  </si>
  <si>
    <t>Escuchó con atención la explicación del robot sobre el cuidado del ambiente.</t>
  </si>
  <si>
    <t>Participó activamente en la actividad ambiental.</t>
  </si>
  <si>
    <t>ODS 4 – Educación de Calidad</t>
  </si>
  <si>
    <t>ODS 10 – Reducción de las Desigualdades</t>
  </si>
  <si>
    <t>ODS 12 – Producción y Consumo Responsables</t>
  </si>
  <si>
    <t>CUMPLE ODS 10</t>
  </si>
  <si>
    <t>CUMPLE ODS 12</t>
  </si>
  <si>
    <t>CUMPLE ODS 13</t>
  </si>
  <si>
    <t>Mostró disposición para clasificar correctamente los residuos después de la explicación del robot.</t>
  </si>
  <si>
    <t>ODS 13 – Acción por el Clima</t>
  </si>
  <si>
    <t>Interactuo correctamente con el robot</t>
  </si>
  <si>
    <t>Comprendio las instrucciones del robot</t>
  </si>
  <si>
    <t>Participo activamente durante toda la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</si>
</sst>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Segoe UI Symbo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0" fontId="4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C46E-095C-49D4-91BF-19FCA247FB54}">
  <dimension ref="A1:I22"/>
  <sheetViews>
    <sheetView workbookViewId="0">
      <selection activeCell="B14" sqref="B14"/>
    </sheetView>
  </sheetViews>
  <sheetFormatPr baseColWidth="10" defaultRowHeight="14.4" x14ac:dyDescent="0.3"/>
  <cols>
    <col min="1" max="1" width="72.88671875" customWidth="1"/>
    <col min="5" max="5" width="20.6640625" customWidth="1"/>
    <col min="9" max="9" width="18.88671875" customWidth="1"/>
    <col min="11" max="11" width="25.77734375" customWidth="1"/>
  </cols>
  <sheetData>
    <row r="1" spans="1:9" ht="16.2" thickBot="1" x14ac:dyDescent="0.35">
      <c r="A1" s="26" t="s">
        <v>48</v>
      </c>
      <c r="B1" s="27"/>
      <c r="C1" s="27"/>
      <c r="D1" s="27"/>
      <c r="E1" s="27"/>
      <c r="F1" s="27"/>
      <c r="G1" s="27"/>
      <c r="H1" s="27"/>
      <c r="I1" s="28"/>
    </row>
    <row r="2" spans="1:9" ht="16.2" thickBot="1" x14ac:dyDescent="0.35">
      <c r="A2" s="25" t="s">
        <v>0</v>
      </c>
      <c r="B2" s="1" t="s">
        <v>1</v>
      </c>
      <c r="C2" s="1" t="s">
        <v>2</v>
      </c>
      <c r="E2" s="1" t="s">
        <v>8</v>
      </c>
      <c r="F2" s="1" t="s">
        <v>29</v>
      </c>
      <c r="G2" s="1" t="s">
        <v>30</v>
      </c>
      <c r="H2" s="1" t="s">
        <v>31</v>
      </c>
      <c r="I2" s="1" t="s">
        <v>33</v>
      </c>
    </row>
    <row r="3" spans="1:9" ht="19.2" x14ac:dyDescent="0.3">
      <c r="A3" s="8" t="s">
        <v>3</v>
      </c>
      <c r="B3" s="2" t="s">
        <v>4</v>
      </c>
      <c r="C3" s="2" t="s">
        <v>4</v>
      </c>
      <c r="E3" t="s">
        <v>9</v>
      </c>
      <c r="F3" s="3" t="s">
        <v>35</v>
      </c>
      <c r="G3" s="3" t="s">
        <v>35</v>
      </c>
      <c r="H3" s="3" t="s">
        <v>35</v>
      </c>
      <c r="I3" t="str">
        <f>IF(COUNTIF(F3:H3,"✔")&gt;=2,"Cumple","No cumple")</f>
        <v>Cumple</v>
      </c>
    </row>
    <row r="4" spans="1:9" ht="19.2" x14ac:dyDescent="0.3">
      <c r="A4" s="6" t="s">
        <v>5</v>
      </c>
      <c r="B4" s="2" t="s">
        <v>4</v>
      </c>
      <c r="C4" s="2" t="s">
        <v>4</v>
      </c>
      <c r="E4" t="s">
        <v>10</v>
      </c>
      <c r="F4" s="3" t="s">
        <v>35</v>
      </c>
      <c r="G4" s="3" t="s">
        <v>35</v>
      </c>
      <c r="H4" s="3" t="s">
        <v>35</v>
      </c>
      <c r="I4" t="str">
        <f t="shared" ref="I4:I22" si="0">IF(COUNTIF(F4:H4,"✔")&gt;=2,"Cumple","No cumple")</f>
        <v>Cumple</v>
      </c>
    </row>
    <row r="5" spans="1:9" ht="19.8" thickBot="1" x14ac:dyDescent="0.35">
      <c r="A5" s="9" t="s">
        <v>6</v>
      </c>
      <c r="B5" s="2" t="s">
        <v>4</v>
      </c>
      <c r="C5" s="2" t="s">
        <v>4</v>
      </c>
      <c r="E5" t="s">
        <v>11</v>
      </c>
      <c r="F5" s="3" t="s">
        <v>35</v>
      </c>
      <c r="G5" s="3" t="s">
        <v>35</v>
      </c>
      <c r="H5" s="3" t="s">
        <v>34</v>
      </c>
      <c r="I5" t="str">
        <f t="shared" si="0"/>
        <v>Cumple</v>
      </c>
    </row>
    <row r="6" spans="1:9" x14ac:dyDescent="0.3">
      <c r="E6" t="s">
        <v>12</v>
      </c>
      <c r="F6" s="3" t="s">
        <v>35</v>
      </c>
      <c r="G6" s="3" t="s">
        <v>35</v>
      </c>
      <c r="H6" s="3" t="s">
        <v>35</v>
      </c>
      <c r="I6" t="str">
        <f t="shared" si="0"/>
        <v>Cumple</v>
      </c>
    </row>
    <row r="7" spans="1:9" x14ac:dyDescent="0.3">
      <c r="A7" t="s">
        <v>45</v>
      </c>
      <c r="E7" t="s">
        <v>13</v>
      </c>
      <c r="F7" s="3" t="s">
        <v>35</v>
      </c>
      <c r="G7" s="3" t="s">
        <v>35</v>
      </c>
      <c r="H7" s="3" t="s">
        <v>35</v>
      </c>
      <c r="I7" t="str">
        <f t="shared" si="0"/>
        <v>Cumple</v>
      </c>
    </row>
    <row r="8" spans="1:9" x14ac:dyDescent="0.3">
      <c r="E8" t="s">
        <v>14</v>
      </c>
      <c r="F8" s="3" t="s">
        <v>35</v>
      </c>
      <c r="G8" s="3" t="s">
        <v>35</v>
      </c>
      <c r="H8" s="3" t="s">
        <v>35</v>
      </c>
      <c r="I8" t="str">
        <f t="shared" si="0"/>
        <v>Cumple</v>
      </c>
    </row>
    <row r="9" spans="1:9" x14ac:dyDescent="0.3">
      <c r="E9" t="s">
        <v>15</v>
      </c>
      <c r="F9" s="3" t="s">
        <v>35</v>
      </c>
      <c r="G9" s="3" t="s">
        <v>35</v>
      </c>
      <c r="H9" s="3" t="s">
        <v>35</v>
      </c>
      <c r="I9" t="str">
        <f t="shared" si="0"/>
        <v>Cumple</v>
      </c>
    </row>
    <row r="10" spans="1:9" x14ac:dyDescent="0.3">
      <c r="E10" t="s">
        <v>16</v>
      </c>
      <c r="F10" s="3" t="s">
        <v>35</v>
      </c>
      <c r="G10" s="3" t="s">
        <v>35</v>
      </c>
      <c r="H10" s="3" t="s">
        <v>35</v>
      </c>
      <c r="I10" t="str">
        <f t="shared" si="0"/>
        <v>Cumple</v>
      </c>
    </row>
    <row r="11" spans="1:9" ht="15.6" x14ac:dyDescent="0.3">
      <c r="A11" s="1" t="s">
        <v>36</v>
      </c>
      <c r="E11" t="s">
        <v>17</v>
      </c>
      <c r="F11" s="3" t="s">
        <v>35</v>
      </c>
      <c r="G11" s="3" t="s">
        <v>35</v>
      </c>
      <c r="H11" s="3" t="s">
        <v>35</v>
      </c>
      <c r="I11" t="str">
        <f t="shared" si="0"/>
        <v>Cumple</v>
      </c>
    </row>
    <row r="12" spans="1:9" x14ac:dyDescent="0.3">
      <c r="A12" s="4" t="s">
        <v>37</v>
      </c>
      <c r="B12">
        <f>COUNTIF(I3:I22,"Cumple")</f>
        <v>19</v>
      </c>
      <c r="E12" t="s">
        <v>18</v>
      </c>
      <c r="F12" s="3" t="s">
        <v>35</v>
      </c>
      <c r="G12" s="3" t="s">
        <v>35</v>
      </c>
      <c r="H12" s="3" t="s">
        <v>35</v>
      </c>
      <c r="I12" t="str">
        <f t="shared" si="0"/>
        <v>Cumple</v>
      </c>
    </row>
    <row r="13" spans="1:9" x14ac:dyDescent="0.3">
      <c r="A13" s="4" t="s">
        <v>38</v>
      </c>
      <c r="B13">
        <f>COUNTIF(I3:I22,"No Cumple")</f>
        <v>1</v>
      </c>
      <c r="E13" t="s">
        <v>19</v>
      </c>
      <c r="F13" s="3" t="s">
        <v>35</v>
      </c>
      <c r="G13" s="3" t="s">
        <v>35</v>
      </c>
      <c r="H13" s="3" t="s">
        <v>35</v>
      </c>
      <c r="I13" t="str">
        <f t="shared" si="0"/>
        <v>Cumple</v>
      </c>
    </row>
    <row r="14" spans="1:9" x14ac:dyDescent="0.3">
      <c r="A14" s="4" t="s">
        <v>39</v>
      </c>
      <c r="B14" s="5">
        <f>B12/20</f>
        <v>0.95</v>
      </c>
      <c r="E14" t="s">
        <v>20</v>
      </c>
      <c r="F14" s="3" t="s">
        <v>35</v>
      </c>
      <c r="G14" s="3" t="s">
        <v>35</v>
      </c>
      <c r="H14" s="3" t="s">
        <v>35</v>
      </c>
      <c r="I14" t="str">
        <f t="shared" si="0"/>
        <v>Cumple</v>
      </c>
    </row>
    <row r="15" spans="1:9" x14ac:dyDescent="0.3">
      <c r="E15" t="s">
        <v>21</v>
      </c>
      <c r="F15" s="3" t="s">
        <v>35</v>
      </c>
      <c r="G15" s="3" t="s">
        <v>35</v>
      </c>
      <c r="H15" s="3" t="s">
        <v>35</v>
      </c>
      <c r="I15" t="str">
        <f t="shared" si="0"/>
        <v>Cumple</v>
      </c>
    </row>
    <row r="16" spans="1:9" x14ac:dyDescent="0.3">
      <c r="E16" t="s">
        <v>22</v>
      </c>
      <c r="F16" s="3" t="s">
        <v>35</v>
      </c>
      <c r="G16" s="3" t="s">
        <v>35</v>
      </c>
      <c r="H16" s="3" t="s">
        <v>35</v>
      </c>
      <c r="I16" t="str">
        <f t="shared" si="0"/>
        <v>Cumple</v>
      </c>
    </row>
    <row r="17" spans="5:9" x14ac:dyDescent="0.3">
      <c r="E17" t="s">
        <v>23</v>
      </c>
      <c r="F17" s="3" t="s">
        <v>35</v>
      </c>
      <c r="G17" s="3" t="s">
        <v>35</v>
      </c>
      <c r="H17" s="3" t="s">
        <v>35</v>
      </c>
      <c r="I17" t="str">
        <f t="shared" si="0"/>
        <v>Cumple</v>
      </c>
    </row>
    <row r="18" spans="5:9" x14ac:dyDescent="0.3">
      <c r="E18" t="s">
        <v>24</v>
      </c>
      <c r="F18" s="3" t="s">
        <v>35</v>
      </c>
      <c r="G18" s="3" t="s">
        <v>35</v>
      </c>
      <c r="H18" s="3" t="s">
        <v>35</v>
      </c>
      <c r="I18" t="str">
        <f t="shared" si="0"/>
        <v>Cumple</v>
      </c>
    </row>
    <row r="19" spans="5:9" x14ac:dyDescent="0.3">
      <c r="E19" t="s">
        <v>25</v>
      </c>
      <c r="F19" s="3" t="s">
        <v>35</v>
      </c>
      <c r="G19" s="3" t="s">
        <v>35</v>
      </c>
      <c r="H19" s="3" t="s">
        <v>34</v>
      </c>
      <c r="I19" t="str">
        <f t="shared" si="0"/>
        <v>Cumple</v>
      </c>
    </row>
    <row r="20" spans="5:9" x14ac:dyDescent="0.3">
      <c r="E20" t="s">
        <v>26</v>
      </c>
      <c r="F20" s="3" t="s">
        <v>35</v>
      </c>
      <c r="G20" s="3" t="s">
        <v>35</v>
      </c>
      <c r="H20" s="3" t="s">
        <v>35</v>
      </c>
      <c r="I20" t="str">
        <f t="shared" si="0"/>
        <v>Cumple</v>
      </c>
    </row>
    <row r="21" spans="5:9" x14ac:dyDescent="0.3">
      <c r="E21" t="s">
        <v>27</v>
      </c>
      <c r="F21" s="3" t="s">
        <v>35</v>
      </c>
      <c r="G21" s="3" t="s">
        <v>35</v>
      </c>
      <c r="H21" s="3" t="s">
        <v>35</v>
      </c>
      <c r="I21" t="str">
        <f t="shared" si="0"/>
        <v>Cumple</v>
      </c>
    </row>
    <row r="22" spans="5:9" x14ac:dyDescent="0.3">
      <c r="E22" t="s">
        <v>28</v>
      </c>
      <c r="F22" s="3" t="s">
        <v>35</v>
      </c>
      <c r="G22" s="3" t="s">
        <v>34</v>
      </c>
      <c r="H22" s="3" t="s">
        <v>34</v>
      </c>
      <c r="I22" t="str">
        <f t="shared" si="0"/>
        <v>No cumple</v>
      </c>
    </row>
  </sheetData>
  <mergeCells count="1">
    <mergeCell ref="A1:I1"/>
  </mergeCells>
  <phoneticPr fontId="6" type="noConversion"/>
  <dataValidations count="1">
    <dataValidation type="list" allowBlank="1" showInputMessage="1" showErrorMessage="1" sqref="F3:H22" xr:uid="{E1F6D97B-907F-46C9-AD2D-5ACF71849AE8}">
      <formula1>"✔, ✘"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97FF1-23FD-45B6-935F-332D8360CCC1}">
  <dimension ref="A1:J22"/>
  <sheetViews>
    <sheetView workbookViewId="0">
      <selection activeCell="H16" sqref="H16"/>
    </sheetView>
  </sheetViews>
  <sheetFormatPr baseColWidth="10" defaultRowHeight="14.4" x14ac:dyDescent="0.3"/>
  <cols>
    <col min="1" max="1" width="72.88671875" customWidth="1"/>
    <col min="5" max="5" width="20.6640625" customWidth="1"/>
    <col min="10" max="10" width="18.88671875" customWidth="1"/>
    <col min="12" max="12" width="25.77734375" customWidth="1"/>
  </cols>
  <sheetData>
    <row r="1" spans="1:10" ht="16.2" thickBot="1" x14ac:dyDescent="0.35">
      <c r="A1" s="24" t="s">
        <v>49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6.2" thickBot="1" x14ac:dyDescent="0.35">
      <c r="A2" s="7" t="s">
        <v>0</v>
      </c>
      <c r="B2" s="14" t="s">
        <v>1</v>
      </c>
      <c r="C2" s="15" t="s">
        <v>2</v>
      </c>
      <c r="E2" s="1" t="s">
        <v>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51</v>
      </c>
    </row>
    <row r="3" spans="1:10" ht="19.2" x14ac:dyDescent="0.3">
      <c r="A3" s="12" t="s">
        <v>40</v>
      </c>
      <c r="B3" s="20" t="s">
        <v>4</v>
      </c>
      <c r="C3" s="21" t="s">
        <v>4</v>
      </c>
      <c r="E3" t="s">
        <v>9</v>
      </c>
      <c r="F3" s="3" t="s">
        <v>34</v>
      </c>
      <c r="G3" s="3" t="s">
        <v>35</v>
      </c>
      <c r="H3" s="3" t="s">
        <v>35</v>
      </c>
      <c r="I3" s="3" t="s">
        <v>35</v>
      </c>
      <c r="J3" t="str">
        <f>IF(COUNTIF(F3:I3,"✔")&gt;=3,"Cumple","No cumple")</f>
        <v>Cumple</v>
      </c>
    </row>
    <row r="4" spans="1:10" ht="19.2" x14ac:dyDescent="0.3">
      <c r="A4" s="10" t="s">
        <v>41</v>
      </c>
      <c r="B4" s="16" t="s">
        <v>4</v>
      </c>
      <c r="C4" s="17" t="s">
        <v>4</v>
      </c>
      <c r="E4" t="s">
        <v>10</v>
      </c>
      <c r="F4" s="3" t="s">
        <v>35</v>
      </c>
      <c r="G4" s="3" t="s">
        <v>35</v>
      </c>
      <c r="H4" s="3" t="s">
        <v>35</v>
      </c>
      <c r="I4" s="3" t="s">
        <v>35</v>
      </c>
      <c r="J4" t="str">
        <f t="shared" ref="J4:J22" si="0">IF(COUNTIF(F4:I4,"✔")&gt;=3,"Cumple","No cumple")</f>
        <v>Cumple</v>
      </c>
    </row>
    <row r="5" spans="1:10" ht="19.2" x14ac:dyDescent="0.3">
      <c r="A5" s="13" t="s">
        <v>42</v>
      </c>
      <c r="B5" s="22" t="s">
        <v>4</v>
      </c>
      <c r="C5" s="23" t="s">
        <v>4</v>
      </c>
      <c r="E5" t="s">
        <v>11</v>
      </c>
      <c r="F5" s="3" t="s">
        <v>35</v>
      </c>
      <c r="G5" s="3" t="s">
        <v>35</v>
      </c>
      <c r="H5" s="3" t="s">
        <v>35</v>
      </c>
      <c r="I5" s="3" t="s">
        <v>35</v>
      </c>
      <c r="J5" t="str">
        <f t="shared" si="0"/>
        <v>Cumple</v>
      </c>
    </row>
    <row r="6" spans="1:10" ht="19.8" thickBot="1" x14ac:dyDescent="0.35">
      <c r="A6" s="11" t="s">
        <v>43</v>
      </c>
      <c r="B6" s="18" t="s">
        <v>4</v>
      </c>
      <c r="C6" s="19" t="s">
        <v>4</v>
      </c>
      <c r="E6" t="s">
        <v>12</v>
      </c>
      <c r="F6" s="3" t="s">
        <v>34</v>
      </c>
      <c r="G6" s="3" t="s">
        <v>35</v>
      </c>
      <c r="H6" s="3" t="s">
        <v>35</v>
      </c>
      <c r="I6" s="3" t="s">
        <v>35</v>
      </c>
      <c r="J6" t="str">
        <f t="shared" si="0"/>
        <v>Cumple</v>
      </c>
    </row>
    <row r="7" spans="1:10" x14ac:dyDescent="0.3">
      <c r="E7" t="s">
        <v>13</v>
      </c>
      <c r="F7" s="3" t="s">
        <v>35</v>
      </c>
      <c r="G7" s="3" t="s">
        <v>35</v>
      </c>
      <c r="H7" s="3" t="s">
        <v>35</v>
      </c>
      <c r="I7" s="3" t="s">
        <v>35</v>
      </c>
      <c r="J7" t="str">
        <f t="shared" si="0"/>
        <v>Cumple</v>
      </c>
    </row>
    <row r="8" spans="1:10" x14ac:dyDescent="0.3">
      <c r="A8" t="s">
        <v>7</v>
      </c>
      <c r="E8" t="s">
        <v>14</v>
      </c>
      <c r="F8" s="3" t="s">
        <v>34</v>
      </c>
      <c r="G8" s="3" t="s">
        <v>35</v>
      </c>
      <c r="H8" s="3" t="s">
        <v>35</v>
      </c>
      <c r="I8" s="3" t="s">
        <v>35</v>
      </c>
      <c r="J8" t="str">
        <f t="shared" si="0"/>
        <v>Cumple</v>
      </c>
    </row>
    <row r="9" spans="1:10" x14ac:dyDescent="0.3">
      <c r="E9" t="s">
        <v>15</v>
      </c>
      <c r="F9" s="3" t="s">
        <v>35</v>
      </c>
      <c r="G9" s="3" t="s">
        <v>35</v>
      </c>
      <c r="H9" s="3" t="s">
        <v>35</v>
      </c>
      <c r="I9" s="3" t="s">
        <v>35</v>
      </c>
      <c r="J9" t="str">
        <f t="shared" si="0"/>
        <v>Cumple</v>
      </c>
    </row>
    <row r="10" spans="1:10" x14ac:dyDescent="0.3">
      <c r="E10" t="s">
        <v>16</v>
      </c>
      <c r="F10" s="3" t="s">
        <v>34</v>
      </c>
      <c r="G10" s="3" t="s">
        <v>35</v>
      </c>
      <c r="H10" s="3" t="s">
        <v>35</v>
      </c>
      <c r="I10" s="3" t="s">
        <v>35</v>
      </c>
      <c r="J10" t="str">
        <f t="shared" si="0"/>
        <v>Cumple</v>
      </c>
    </row>
    <row r="11" spans="1:10" x14ac:dyDescent="0.3">
      <c r="E11" t="s">
        <v>17</v>
      </c>
      <c r="F11" s="3" t="s">
        <v>35</v>
      </c>
      <c r="G11" s="3" t="s">
        <v>35</v>
      </c>
      <c r="H11" s="3" t="s">
        <v>35</v>
      </c>
      <c r="I11" s="3" t="s">
        <v>35</v>
      </c>
      <c r="J11" t="str">
        <f t="shared" si="0"/>
        <v>Cumple</v>
      </c>
    </row>
    <row r="12" spans="1:10" ht="15.6" x14ac:dyDescent="0.3">
      <c r="A12" s="1" t="s">
        <v>36</v>
      </c>
      <c r="E12" t="s">
        <v>18</v>
      </c>
      <c r="F12" s="3" t="s">
        <v>34</v>
      </c>
      <c r="G12" s="3" t="s">
        <v>35</v>
      </c>
      <c r="H12" s="3" t="s">
        <v>35</v>
      </c>
      <c r="I12" s="3" t="s">
        <v>35</v>
      </c>
      <c r="J12" t="str">
        <f t="shared" si="0"/>
        <v>Cumple</v>
      </c>
    </row>
    <row r="13" spans="1:10" x14ac:dyDescent="0.3">
      <c r="A13" s="4" t="s">
        <v>37</v>
      </c>
      <c r="B13">
        <f>COUNTIF(J3:J22,"Cumple")</f>
        <v>20</v>
      </c>
      <c r="E13" t="s">
        <v>19</v>
      </c>
      <c r="F13" s="3" t="s">
        <v>35</v>
      </c>
      <c r="G13" s="3" t="s">
        <v>35</v>
      </c>
      <c r="H13" s="3" t="s">
        <v>35</v>
      </c>
      <c r="I13" s="3" t="s">
        <v>35</v>
      </c>
      <c r="J13" t="str">
        <f t="shared" si="0"/>
        <v>Cumple</v>
      </c>
    </row>
    <row r="14" spans="1:10" x14ac:dyDescent="0.3">
      <c r="A14" s="4" t="s">
        <v>38</v>
      </c>
      <c r="B14">
        <f>COUNTIF(J3:J22,"No Cumple")</f>
        <v>0</v>
      </c>
      <c r="E14" t="s">
        <v>20</v>
      </c>
      <c r="F14" s="3" t="s">
        <v>35</v>
      </c>
      <c r="G14" s="3" t="s">
        <v>35</v>
      </c>
      <c r="H14" s="3" t="s">
        <v>35</v>
      </c>
      <c r="I14" s="3" t="s">
        <v>35</v>
      </c>
      <c r="J14" t="str">
        <f t="shared" si="0"/>
        <v>Cumple</v>
      </c>
    </row>
    <row r="15" spans="1:10" x14ac:dyDescent="0.3">
      <c r="A15" s="4" t="s">
        <v>39</v>
      </c>
      <c r="B15" s="5">
        <f>B13/20</f>
        <v>1</v>
      </c>
      <c r="E15" t="s">
        <v>21</v>
      </c>
      <c r="F15" s="3" t="s">
        <v>34</v>
      </c>
      <c r="G15" s="3" t="s">
        <v>35</v>
      </c>
      <c r="H15" s="3" t="s">
        <v>35</v>
      </c>
      <c r="I15" s="3" t="s">
        <v>35</v>
      </c>
      <c r="J15" t="str">
        <f t="shared" si="0"/>
        <v>Cumple</v>
      </c>
    </row>
    <row r="16" spans="1:10" x14ac:dyDescent="0.3">
      <c r="E16" t="s">
        <v>22</v>
      </c>
      <c r="F16" s="3" t="s">
        <v>35</v>
      </c>
      <c r="G16" s="3" t="s">
        <v>35</v>
      </c>
      <c r="H16" s="3" t="s">
        <v>35</v>
      </c>
      <c r="I16" s="3" t="s">
        <v>35</v>
      </c>
      <c r="J16" t="str">
        <f t="shared" si="0"/>
        <v>Cumple</v>
      </c>
    </row>
    <row r="17" spans="5:10" x14ac:dyDescent="0.3">
      <c r="E17" t="s">
        <v>23</v>
      </c>
      <c r="F17" s="3" t="s">
        <v>34</v>
      </c>
      <c r="G17" s="3" t="s">
        <v>35</v>
      </c>
      <c r="H17" s="3" t="s">
        <v>35</v>
      </c>
      <c r="I17" s="3" t="s">
        <v>35</v>
      </c>
      <c r="J17" t="str">
        <f t="shared" si="0"/>
        <v>Cumple</v>
      </c>
    </row>
    <row r="18" spans="5:10" x14ac:dyDescent="0.3">
      <c r="E18" t="s">
        <v>24</v>
      </c>
      <c r="F18" s="3" t="s">
        <v>34</v>
      </c>
      <c r="G18" s="3" t="s">
        <v>35</v>
      </c>
      <c r="H18" s="3" t="s">
        <v>35</v>
      </c>
      <c r="I18" s="3" t="s">
        <v>35</v>
      </c>
      <c r="J18" t="str">
        <f t="shared" si="0"/>
        <v>Cumple</v>
      </c>
    </row>
    <row r="19" spans="5:10" x14ac:dyDescent="0.3">
      <c r="E19" t="s">
        <v>25</v>
      </c>
      <c r="F19" s="3" t="s">
        <v>35</v>
      </c>
      <c r="G19" s="3" t="s">
        <v>35</v>
      </c>
      <c r="H19" s="3" t="s">
        <v>35</v>
      </c>
      <c r="I19" s="3" t="s">
        <v>35</v>
      </c>
      <c r="J19" t="str">
        <f t="shared" si="0"/>
        <v>Cumple</v>
      </c>
    </row>
    <row r="20" spans="5:10" x14ac:dyDescent="0.3">
      <c r="E20" t="s">
        <v>26</v>
      </c>
      <c r="F20" s="3" t="s">
        <v>34</v>
      </c>
      <c r="G20" s="3" t="s">
        <v>35</v>
      </c>
      <c r="H20" s="3" t="s">
        <v>35</v>
      </c>
      <c r="I20" s="3" t="s">
        <v>35</v>
      </c>
      <c r="J20" t="str">
        <f t="shared" si="0"/>
        <v>Cumple</v>
      </c>
    </row>
    <row r="21" spans="5:10" x14ac:dyDescent="0.3">
      <c r="E21" t="s">
        <v>27</v>
      </c>
      <c r="F21" s="3" t="s">
        <v>35</v>
      </c>
      <c r="G21" s="3" t="s">
        <v>35</v>
      </c>
      <c r="H21" s="3" t="s">
        <v>35</v>
      </c>
      <c r="I21" s="3" t="s">
        <v>35</v>
      </c>
      <c r="J21" t="str">
        <f t="shared" si="0"/>
        <v>Cumple</v>
      </c>
    </row>
    <row r="22" spans="5:10" x14ac:dyDescent="0.3">
      <c r="E22" t="s">
        <v>28</v>
      </c>
      <c r="F22" s="3" t="s">
        <v>35</v>
      </c>
      <c r="G22" s="3" t="s">
        <v>34</v>
      </c>
      <c r="H22" s="3" t="s">
        <v>35</v>
      </c>
      <c r="I22" s="3" t="s">
        <v>35</v>
      </c>
      <c r="J22" t="str">
        <f t="shared" si="0"/>
        <v>Cumple</v>
      </c>
    </row>
  </sheetData>
  <mergeCells count="1">
    <mergeCell ref="A1:J1"/>
  </mergeCells>
  <dataValidations count="1">
    <dataValidation type="list" allowBlank="1" showInputMessage="1" showErrorMessage="1" sqref="F3:I22" xr:uid="{ED1DC851-CBC7-4080-84F9-2A1E59B42C17}">
      <formula1>"✔, ✘"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4A80-F3D4-4B73-ADF0-41266AD87BDE}">
  <dimension ref="A1:J22"/>
  <sheetViews>
    <sheetView workbookViewId="0">
      <selection activeCell="I16" sqref="I16"/>
    </sheetView>
  </sheetViews>
  <sheetFormatPr baseColWidth="10" defaultRowHeight="14.4" x14ac:dyDescent="0.3"/>
  <cols>
    <col min="1" max="1" width="72.88671875" customWidth="1"/>
    <col min="5" max="5" width="20.6640625" customWidth="1"/>
    <col min="10" max="10" width="18.88671875" customWidth="1"/>
    <col min="12" max="12" width="25.77734375" customWidth="1"/>
  </cols>
  <sheetData>
    <row r="1" spans="1:10" ht="16.2" thickBot="1" x14ac:dyDescent="0.35">
      <c r="A1" s="24" t="s">
        <v>50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6.2" thickBot="1" x14ac:dyDescent="0.35">
      <c r="A2" s="7" t="s">
        <v>0</v>
      </c>
      <c r="B2" s="14" t="s">
        <v>1</v>
      </c>
      <c r="C2" s="15" t="s">
        <v>2</v>
      </c>
      <c r="E2" s="1" t="s">
        <v>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52</v>
      </c>
    </row>
    <row r="3" spans="1:10" ht="19.2" x14ac:dyDescent="0.3">
      <c r="A3" s="12" t="s">
        <v>56</v>
      </c>
      <c r="B3" s="20" t="s">
        <v>4</v>
      </c>
      <c r="C3" s="21" t="s">
        <v>4</v>
      </c>
      <c r="E3" t="s">
        <v>9</v>
      </c>
      <c r="F3" s="3" t="s">
        <v>34</v>
      </c>
      <c r="G3" s="3" t="s">
        <v>35</v>
      </c>
      <c r="H3" s="3" t="s">
        <v>35</v>
      </c>
      <c r="I3" s="3" t="s">
        <v>35</v>
      </c>
      <c r="J3" t="str">
        <f>IF(COUNTIF(F3:I3,"✔")&gt;=3,"Cumple","No cumple")</f>
        <v>Cumple</v>
      </c>
    </row>
    <row r="4" spans="1:10" ht="19.2" x14ac:dyDescent="0.3">
      <c r="A4" s="10" t="s">
        <v>57</v>
      </c>
      <c r="B4" s="16" t="s">
        <v>4</v>
      </c>
      <c r="C4" s="17" t="s">
        <v>4</v>
      </c>
      <c r="E4" t="s">
        <v>10</v>
      </c>
      <c r="F4" s="3" t="s">
        <v>35</v>
      </c>
      <c r="G4" s="3" t="s">
        <v>35</v>
      </c>
      <c r="H4" s="3" t="s">
        <v>35</v>
      </c>
      <c r="I4" s="3" t="s">
        <v>35</v>
      </c>
      <c r="J4" t="str">
        <f t="shared" ref="J4:J22" si="0">IF(COUNTIF(F4:I4,"✔")&gt;=3,"Cumple","No cumple")</f>
        <v>Cumple</v>
      </c>
    </row>
    <row r="5" spans="1:10" ht="19.2" x14ac:dyDescent="0.3">
      <c r="A5" s="13" t="s">
        <v>44</v>
      </c>
      <c r="B5" s="22" t="s">
        <v>4</v>
      </c>
      <c r="C5" s="23" t="s">
        <v>4</v>
      </c>
      <c r="E5" t="s">
        <v>11</v>
      </c>
      <c r="F5" s="3" t="s">
        <v>35</v>
      </c>
      <c r="G5" s="3" t="s">
        <v>35</v>
      </c>
      <c r="H5" s="3" t="s">
        <v>35</v>
      </c>
      <c r="I5" s="3" t="s">
        <v>35</v>
      </c>
      <c r="J5" t="str">
        <f t="shared" si="0"/>
        <v>Cumple</v>
      </c>
    </row>
    <row r="6" spans="1:10" ht="19.8" thickBot="1" x14ac:dyDescent="0.35">
      <c r="A6" s="11" t="s">
        <v>58</v>
      </c>
      <c r="B6" s="18" t="s">
        <v>4</v>
      </c>
      <c r="C6" s="19" t="s">
        <v>4</v>
      </c>
      <c r="E6" t="s">
        <v>12</v>
      </c>
      <c r="F6" s="3" t="s">
        <v>34</v>
      </c>
      <c r="G6" s="3" t="s">
        <v>35</v>
      </c>
      <c r="H6" s="3" t="s">
        <v>35</v>
      </c>
      <c r="I6" s="3" t="s">
        <v>35</v>
      </c>
      <c r="J6" t="str">
        <f t="shared" si="0"/>
        <v>Cumple</v>
      </c>
    </row>
    <row r="7" spans="1:10" x14ac:dyDescent="0.3">
      <c r="E7" t="s">
        <v>13</v>
      </c>
      <c r="F7" s="3" t="s">
        <v>35</v>
      </c>
      <c r="G7" s="3" t="s">
        <v>35</v>
      </c>
      <c r="H7" s="3" t="s">
        <v>35</v>
      </c>
      <c r="I7" s="3" t="s">
        <v>35</v>
      </c>
      <c r="J7" t="str">
        <f t="shared" si="0"/>
        <v>Cumple</v>
      </c>
    </row>
    <row r="8" spans="1:10" x14ac:dyDescent="0.3">
      <c r="A8" t="s">
        <v>7</v>
      </c>
      <c r="E8" t="s">
        <v>14</v>
      </c>
      <c r="F8" s="3" t="s">
        <v>35</v>
      </c>
      <c r="G8" s="3" t="s">
        <v>35</v>
      </c>
      <c r="H8" s="3" t="s">
        <v>35</v>
      </c>
      <c r="I8" s="3" t="s">
        <v>35</v>
      </c>
      <c r="J8" t="str">
        <f t="shared" si="0"/>
        <v>Cumple</v>
      </c>
    </row>
    <row r="9" spans="1:10" x14ac:dyDescent="0.3">
      <c r="E9" t="s">
        <v>15</v>
      </c>
      <c r="F9" s="3" t="s">
        <v>34</v>
      </c>
      <c r="G9" s="3" t="s">
        <v>35</v>
      </c>
      <c r="H9" s="3" t="s">
        <v>35</v>
      </c>
      <c r="I9" s="3" t="s">
        <v>35</v>
      </c>
      <c r="J9" t="str">
        <f t="shared" si="0"/>
        <v>Cumple</v>
      </c>
    </row>
    <row r="10" spans="1:10" x14ac:dyDescent="0.3">
      <c r="E10" t="s">
        <v>16</v>
      </c>
      <c r="F10" s="3" t="s">
        <v>35</v>
      </c>
      <c r="G10" s="3" t="s">
        <v>35</v>
      </c>
      <c r="H10" s="3" t="s">
        <v>35</v>
      </c>
      <c r="I10" s="3" t="s">
        <v>35</v>
      </c>
      <c r="J10" t="str">
        <f t="shared" si="0"/>
        <v>Cumple</v>
      </c>
    </row>
    <row r="11" spans="1:10" x14ac:dyDescent="0.3">
      <c r="E11" t="s">
        <v>17</v>
      </c>
      <c r="F11" s="3" t="s">
        <v>35</v>
      </c>
      <c r="G11" s="3" t="s">
        <v>35</v>
      </c>
      <c r="H11" s="3" t="s">
        <v>35</v>
      </c>
      <c r="I11" s="3" t="s">
        <v>35</v>
      </c>
      <c r="J11" t="str">
        <f t="shared" si="0"/>
        <v>Cumple</v>
      </c>
    </row>
    <row r="12" spans="1:10" ht="15.6" x14ac:dyDescent="0.3">
      <c r="A12" s="1" t="s">
        <v>36</v>
      </c>
      <c r="E12" t="s">
        <v>18</v>
      </c>
      <c r="F12" s="3" t="s">
        <v>34</v>
      </c>
      <c r="G12" s="3" t="s">
        <v>35</v>
      </c>
      <c r="H12" s="3" t="s">
        <v>35</v>
      </c>
      <c r="I12" s="3" t="s">
        <v>35</v>
      </c>
      <c r="J12" t="str">
        <f t="shared" si="0"/>
        <v>Cumple</v>
      </c>
    </row>
    <row r="13" spans="1:10" x14ac:dyDescent="0.3">
      <c r="A13" s="4" t="s">
        <v>37</v>
      </c>
      <c r="B13">
        <f>COUNTIF(J3:J22,"Cumple")</f>
        <v>19</v>
      </c>
      <c r="E13" t="s">
        <v>19</v>
      </c>
      <c r="F13" s="3" t="s">
        <v>35</v>
      </c>
      <c r="G13" s="3" t="s">
        <v>35</v>
      </c>
      <c r="H13" s="3" t="s">
        <v>35</v>
      </c>
      <c r="I13" s="3" t="s">
        <v>35</v>
      </c>
      <c r="J13" t="str">
        <f t="shared" si="0"/>
        <v>Cumple</v>
      </c>
    </row>
    <row r="14" spans="1:10" x14ac:dyDescent="0.3">
      <c r="A14" s="4" t="s">
        <v>38</v>
      </c>
      <c r="B14">
        <f>COUNTIF(J3:J22,"No Cumple")</f>
        <v>1</v>
      </c>
      <c r="E14" t="s">
        <v>20</v>
      </c>
      <c r="F14" s="3" t="s">
        <v>34</v>
      </c>
      <c r="G14" s="3" t="s">
        <v>35</v>
      </c>
      <c r="H14" s="3" t="s">
        <v>35</v>
      </c>
      <c r="I14" s="3" t="s">
        <v>35</v>
      </c>
      <c r="J14" t="str">
        <f t="shared" si="0"/>
        <v>Cumple</v>
      </c>
    </row>
    <row r="15" spans="1:10" x14ac:dyDescent="0.3">
      <c r="A15" s="4" t="s">
        <v>39</v>
      </c>
      <c r="B15" s="5">
        <f>B13/20</f>
        <v>0.95</v>
      </c>
      <c r="E15" t="s">
        <v>21</v>
      </c>
      <c r="F15" s="3" t="s">
        <v>34</v>
      </c>
      <c r="G15" s="3" t="s">
        <v>34</v>
      </c>
      <c r="H15" s="3" t="s">
        <v>35</v>
      </c>
      <c r="I15" s="3" t="s">
        <v>35</v>
      </c>
      <c r="J15" t="str">
        <f t="shared" si="0"/>
        <v>No cumple</v>
      </c>
    </row>
    <row r="16" spans="1:10" x14ac:dyDescent="0.3">
      <c r="E16" t="s">
        <v>22</v>
      </c>
      <c r="F16" s="3" t="s">
        <v>35</v>
      </c>
      <c r="G16" s="3" t="s">
        <v>35</v>
      </c>
      <c r="H16" s="3" t="s">
        <v>35</v>
      </c>
      <c r="I16" s="3" t="s">
        <v>35</v>
      </c>
      <c r="J16" t="str">
        <f t="shared" si="0"/>
        <v>Cumple</v>
      </c>
    </row>
    <row r="17" spans="5:10" x14ac:dyDescent="0.3">
      <c r="E17" t="s">
        <v>23</v>
      </c>
      <c r="F17" s="3" t="s">
        <v>35</v>
      </c>
      <c r="G17" s="3" t="s">
        <v>35</v>
      </c>
      <c r="H17" s="3" t="s">
        <v>35</v>
      </c>
      <c r="I17" s="3" t="s">
        <v>35</v>
      </c>
      <c r="J17" t="str">
        <f t="shared" si="0"/>
        <v>Cumple</v>
      </c>
    </row>
    <row r="18" spans="5:10" x14ac:dyDescent="0.3">
      <c r="E18" t="s">
        <v>24</v>
      </c>
      <c r="F18" s="3" t="s">
        <v>34</v>
      </c>
      <c r="G18" s="3" t="s">
        <v>35</v>
      </c>
      <c r="H18" s="3" t="s">
        <v>35</v>
      </c>
      <c r="I18" s="3" t="s">
        <v>35</v>
      </c>
      <c r="J18" t="str">
        <f t="shared" si="0"/>
        <v>Cumple</v>
      </c>
    </row>
    <row r="19" spans="5:10" x14ac:dyDescent="0.3">
      <c r="E19" t="s">
        <v>25</v>
      </c>
      <c r="F19" s="3" t="s">
        <v>35</v>
      </c>
      <c r="G19" s="3" t="s">
        <v>35</v>
      </c>
      <c r="H19" s="3" t="s">
        <v>35</v>
      </c>
      <c r="I19" s="3" t="s">
        <v>34</v>
      </c>
      <c r="J19" t="str">
        <f t="shared" si="0"/>
        <v>Cumple</v>
      </c>
    </row>
    <row r="20" spans="5:10" x14ac:dyDescent="0.3">
      <c r="E20" t="s">
        <v>26</v>
      </c>
      <c r="F20" s="3" t="s">
        <v>35</v>
      </c>
      <c r="G20" s="3" t="s">
        <v>35</v>
      </c>
      <c r="H20" s="3" t="s">
        <v>35</v>
      </c>
      <c r="I20" s="3" t="s">
        <v>34</v>
      </c>
      <c r="J20" t="str">
        <f t="shared" si="0"/>
        <v>Cumple</v>
      </c>
    </row>
    <row r="21" spans="5:10" x14ac:dyDescent="0.3">
      <c r="E21" t="s">
        <v>27</v>
      </c>
      <c r="F21" s="3" t="s">
        <v>34</v>
      </c>
      <c r="G21" s="3" t="s">
        <v>35</v>
      </c>
      <c r="H21" s="3" t="s">
        <v>35</v>
      </c>
      <c r="I21" s="3" t="s">
        <v>35</v>
      </c>
      <c r="J21" t="str">
        <f t="shared" si="0"/>
        <v>Cumple</v>
      </c>
    </row>
    <row r="22" spans="5:10" x14ac:dyDescent="0.3">
      <c r="E22" t="s">
        <v>28</v>
      </c>
      <c r="F22" s="3" t="s">
        <v>35</v>
      </c>
      <c r="G22" s="3" t="s">
        <v>34</v>
      </c>
      <c r="H22" s="3" t="s">
        <v>35</v>
      </c>
      <c r="I22" s="3" t="s">
        <v>35</v>
      </c>
      <c r="J22" t="str">
        <f t="shared" si="0"/>
        <v>Cumple</v>
      </c>
    </row>
  </sheetData>
  <mergeCells count="1">
    <mergeCell ref="A1:J1"/>
  </mergeCells>
  <dataValidations count="1">
    <dataValidation type="list" allowBlank="1" showInputMessage="1" showErrorMessage="1" sqref="F3:I22" xr:uid="{B0588199-F0FD-4B3F-A2F3-27A38681E5E7}">
      <formula1>"✔, ✘"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1675-9962-4A7F-887B-3D41A3087680}">
  <dimension ref="A1:I22"/>
  <sheetViews>
    <sheetView tabSelected="1" workbookViewId="0">
      <selection activeCell="C10" sqref="C10"/>
    </sheetView>
  </sheetViews>
  <sheetFormatPr baseColWidth="10" defaultRowHeight="14.4" x14ac:dyDescent="0.3"/>
  <cols>
    <col min="1" max="1" width="72.88671875" customWidth="1"/>
    <col min="5" max="5" width="20.6640625" customWidth="1"/>
    <col min="9" max="9" width="18.88671875" customWidth="1"/>
    <col min="11" max="11" width="25.77734375" customWidth="1"/>
  </cols>
  <sheetData>
    <row r="1" spans="1:9" ht="16.2" thickBot="1" x14ac:dyDescent="0.35">
      <c r="A1" s="24" t="s">
        <v>55</v>
      </c>
      <c r="B1" s="24"/>
      <c r="C1" s="24"/>
      <c r="D1" s="24"/>
      <c r="E1" s="24"/>
      <c r="F1" s="24"/>
      <c r="G1" s="24"/>
      <c r="H1" s="24"/>
      <c r="I1" s="24"/>
    </row>
    <row r="2" spans="1:9" ht="16.2" thickBot="1" x14ac:dyDescent="0.35">
      <c r="A2" s="7" t="s">
        <v>0</v>
      </c>
      <c r="B2" s="1" t="s">
        <v>1</v>
      </c>
      <c r="C2" s="1" t="s">
        <v>2</v>
      </c>
      <c r="E2" s="1" t="s">
        <v>8</v>
      </c>
      <c r="F2" s="1" t="s">
        <v>29</v>
      </c>
      <c r="G2" s="1" t="s">
        <v>30</v>
      </c>
      <c r="H2" s="1" t="s">
        <v>31</v>
      </c>
      <c r="I2" s="1" t="s">
        <v>53</v>
      </c>
    </row>
    <row r="3" spans="1:9" ht="19.2" x14ac:dyDescent="0.3">
      <c r="A3" s="8" t="s">
        <v>46</v>
      </c>
      <c r="B3" s="2" t="s">
        <v>4</v>
      </c>
      <c r="C3" s="2" t="s">
        <v>4</v>
      </c>
      <c r="E3" t="s">
        <v>9</v>
      </c>
      <c r="F3" s="3" t="s">
        <v>35</v>
      </c>
      <c r="G3" s="3" t="s">
        <v>35</v>
      </c>
      <c r="H3" s="3" t="s">
        <v>35</v>
      </c>
      <c r="I3" t="str">
        <f>IF(COUNTIF(F3:H3,"✔")&gt;=2,"Cumple","No cumple")</f>
        <v>Cumple</v>
      </c>
    </row>
    <row r="4" spans="1:9" ht="19.2" x14ac:dyDescent="0.3">
      <c r="A4" s="6" t="s">
        <v>47</v>
      </c>
      <c r="B4" s="2" t="s">
        <v>4</v>
      </c>
      <c r="C4" s="2" t="s">
        <v>4</v>
      </c>
      <c r="E4" t="s">
        <v>10</v>
      </c>
      <c r="F4" s="3" t="s">
        <v>35</v>
      </c>
      <c r="G4" s="3" t="s">
        <v>35</v>
      </c>
      <c r="H4" s="3" t="s">
        <v>35</v>
      </c>
      <c r="I4" t="str">
        <f t="shared" ref="I4:I22" si="0">IF(COUNTIF(F4:H4,"✔")&gt;=2,"Cumple","No cumple")</f>
        <v>Cumple</v>
      </c>
    </row>
    <row r="5" spans="1:9" ht="31.8" thickBot="1" x14ac:dyDescent="0.35">
      <c r="A5" s="9" t="s">
        <v>54</v>
      </c>
      <c r="B5" s="2" t="s">
        <v>4</v>
      </c>
      <c r="C5" s="2" t="s">
        <v>4</v>
      </c>
      <c r="E5" t="s">
        <v>11</v>
      </c>
      <c r="F5" s="3" t="s">
        <v>34</v>
      </c>
      <c r="G5" s="3" t="s">
        <v>35</v>
      </c>
      <c r="H5" s="3" t="s">
        <v>34</v>
      </c>
      <c r="I5" t="str">
        <f t="shared" si="0"/>
        <v>No cumple</v>
      </c>
    </row>
    <row r="6" spans="1:9" x14ac:dyDescent="0.3">
      <c r="E6" t="s">
        <v>12</v>
      </c>
      <c r="F6" s="3" t="s">
        <v>35</v>
      </c>
      <c r="G6" s="3" t="s">
        <v>35</v>
      </c>
      <c r="H6" s="3" t="s">
        <v>35</v>
      </c>
      <c r="I6" t="str">
        <f t="shared" si="0"/>
        <v>Cumple</v>
      </c>
    </row>
    <row r="7" spans="1:9" x14ac:dyDescent="0.3">
      <c r="A7" t="s">
        <v>45</v>
      </c>
      <c r="E7" t="s">
        <v>13</v>
      </c>
      <c r="F7" s="3" t="s">
        <v>35</v>
      </c>
      <c r="G7" s="3" t="s">
        <v>35</v>
      </c>
      <c r="H7" s="3" t="s">
        <v>35</v>
      </c>
      <c r="I7" t="str">
        <f t="shared" si="0"/>
        <v>Cumple</v>
      </c>
    </row>
    <row r="8" spans="1:9" x14ac:dyDescent="0.3">
      <c r="E8" t="s">
        <v>14</v>
      </c>
      <c r="F8" s="3" t="s">
        <v>34</v>
      </c>
      <c r="G8" s="3" t="s">
        <v>35</v>
      </c>
      <c r="H8" s="3" t="s">
        <v>35</v>
      </c>
      <c r="I8" t="str">
        <f t="shared" si="0"/>
        <v>Cumple</v>
      </c>
    </row>
    <row r="9" spans="1:9" x14ac:dyDescent="0.3">
      <c r="E9" t="s">
        <v>15</v>
      </c>
      <c r="F9" s="3" t="s">
        <v>35</v>
      </c>
      <c r="G9" s="3" t="s">
        <v>35</v>
      </c>
      <c r="H9" s="3" t="s">
        <v>35</v>
      </c>
      <c r="I9" t="str">
        <f t="shared" si="0"/>
        <v>Cumple</v>
      </c>
    </row>
    <row r="10" spans="1:9" x14ac:dyDescent="0.3">
      <c r="E10" t="s">
        <v>16</v>
      </c>
      <c r="F10" s="3" t="s">
        <v>35</v>
      </c>
      <c r="G10" s="3" t="s">
        <v>35</v>
      </c>
      <c r="H10" s="3" t="s">
        <v>35</v>
      </c>
      <c r="I10" t="str">
        <f t="shared" si="0"/>
        <v>Cumple</v>
      </c>
    </row>
    <row r="11" spans="1:9" ht="15.6" x14ac:dyDescent="0.3">
      <c r="A11" s="1" t="s">
        <v>36</v>
      </c>
      <c r="E11" t="s">
        <v>17</v>
      </c>
      <c r="F11" s="3" t="s">
        <v>35</v>
      </c>
      <c r="G11" s="3" t="s">
        <v>35</v>
      </c>
      <c r="H11" s="3" t="s">
        <v>35</v>
      </c>
      <c r="I11" t="str">
        <f t="shared" si="0"/>
        <v>Cumple</v>
      </c>
    </row>
    <row r="12" spans="1:9" x14ac:dyDescent="0.3">
      <c r="A12" s="4" t="s">
        <v>37</v>
      </c>
      <c r="B12">
        <f>COUNTIF(I3:I22,"Cumple")</f>
        <v>19</v>
      </c>
      <c r="E12" t="s">
        <v>18</v>
      </c>
      <c r="F12" s="3" t="s">
        <v>34</v>
      </c>
      <c r="G12" s="3" t="s">
        <v>35</v>
      </c>
      <c r="H12" s="3" t="s">
        <v>35</v>
      </c>
      <c r="I12" t="str">
        <f t="shared" si="0"/>
        <v>Cumple</v>
      </c>
    </row>
    <row r="13" spans="1:9" x14ac:dyDescent="0.3">
      <c r="A13" s="4" t="s">
        <v>38</v>
      </c>
      <c r="B13">
        <f>COUNTIF(I3:I22,"No Cumple")</f>
        <v>1</v>
      </c>
      <c r="E13" t="s">
        <v>19</v>
      </c>
      <c r="F13" s="3" t="s">
        <v>35</v>
      </c>
      <c r="G13" s="3" t="s">
        <v>35</v>
      </c>
      <c r="H13" s="3" t="s">
        <v>35</v>
      </c>
      <c r="I13" t="str">
        <f t="shared" si="0"/>
        <v>Cumple</v>
      </c>
    </row>
    <row r="14" spans="1:9" x14ac:dyDescent="0.3">
      <c r="A14" s="4" t="s">
        <v>39</v>
      </c>
      <c r="B14" s="5">
        <f>B12/20</f>
        <v>0.95</v>
      </c>
      <c r="E14" t="s">
        <v>20</v>
      </c>
      <c r="F14" s="3" t="s">
        <v>35</v>
      </c>
      <c r="G14" s="3" t="s">
        <v>35</v>
      </c>
      <c r="H14" s="3" t="s">
        <v>35</v>
      </c>
      <c r="I14" t="str">
        <f t="shared" si="0"/>
        <v>Cumple</v>
      </c>
    </row>
    <row r="15" spans="1:9" x14ac:dyDescent="0.3">
      <c r="E15" t="s">
        <v>21</v>
      </c>
      <c r="F15" s="3" t="s">
        <v>35</v>
      </c>
      <c r="G15" s="3" t="s">
        <v>35</v>
      </c>
      <c r="H15" s="3" t="s">
        <v>35</v>
      </c>
      <c r="I15" t="str">
        <f t="shared" si="0"/>
        <v>Cumple</v>
      </c>
    </row>
    <row r="16" spans="1:9" x14ac:dyDescent="0.3">
      <c r="E16" t="s">
        <v>22</v>
      </c>
      <c r="F16" s="3" t="s">
        <v>34</v>
      </c>
      <c r="G16" s="3" t="s">
        <v>35</v>
      </c>
      <c r="H16" s="3" t="s">
        <v>35</v>
      </c>
      <c r="I16" t="str">
        <f t="shared" si="0"/>
        <v>Cumple</v>
      </c>
    </row>
    <row r="17" spans="5:9" x14ac:dyDescent="0.3">
      <c r="E17" t="s">
        <v>23</v>
      </c>
      <c r="F17" s="3" t="s">
        <v>35</v>
      </c>
      <c r="G17" s="3" t="s">
        <v>35</v>
      </c>
      <c r="H17" s="3" t="s">
        <v>35</v>
      </c>
      <c r="I17" t="str">
        <f t="shared" si="0"/>
        <v>Cumple</v>
      </c>
    </row>
    <row r="18" spans="5:9" x14ac:dyDescent="0.3">
      <c r="E18" t="s">
        <v>24</v>
      </c>
      <c r="F18" s="3" t="s">
        <v>35</v>
      </c>
      <c r="G18" s="3" t="s">
        <v>35</v>
      </c>
      <c r="H18" s="3" t="s">
        <v>35</v>
      </c>
      <c r="I18" t="str">
        <f t="shared" si="0"/>
        <v>Cumple</v>
      </c>
    </row>
    <row r="19" spans="5:9" x14ac:dyDescent="0.3">
      <c r="E19" t="s">
        <v>25</v>
      </c>
      <c r="F19" s="3" t="s">
        <v>35</v>
      </c>
      <c r="G19" s="3" t="s">
        <v>35</v>
      </c>
      <c r="H19" s="3" t="s">
        <v>34</v>
      </c>
      <c r="I19" t="str">
        <f t="shared" si="0"/>
        <v>Cumple</v>
      </c>
    </row>
    <row r="20" spans="5:9" x14ac:dyDescent="0.3">
      <c r="E20" t="s">
        <v>26</v>
      </c>
      <c r="F20" s="3" t="s">
        <v>35</v>
      </c>
      <c r="G20" s="3" t="s">
        <v>35</v>
      </c>
      <c r="H20" s="3" t="s">
        <v>35</v>
      </c>
      <c r="I20" t="str">
        <f t="shared" si="0"/>
        <v>Cumple</v>
      </c>
    </row>
    <row r="21" spans="5:9" x14ac:dyDescent="0.3">
      <c r="E21" t="s">
        <v>27</v>
      </c>
      <c r="F21" s="3" t="s">
        <v>35</v>
      </c>
      <c r="G21" s="3" t="s">
        <v>35</v>
      </c>
      <c r="H21" s="3" t="s">
        <v>35</v>
      </c>
      <c r="I21" t="str">
        <f t="shared" si="0"/>
        <v>Cumple</v>
      </c>
    </row>
    <row r="22" spans="5:9" x14ac:dyDescent="0.3">
      <c r="E22" t="s">
        <v>28</v>
      </c>
      <c r="F22" s="3" t="s">
        <v>35</v>
      </c>
      <c r="G22" s="3" t="s">
        <v>34</v>
      </c>
      <c r="H22" s="3" t="s">
        <v>35</v>
      </c>
      <c r="I22" t="str">
        <f t="shared" si="0"/>
        <v>Cumple</v>
      </c>
    </row>
  </sheetData>
  <mergeCells count="1">
    <mergeCell ref="A1:I1"/>
  </mergeCells>
  <dataValidations count="1">
    <dataValidation type="list" allowBlank="1" showInputMessage="1" showErrorMessage="1" sqref="F3:H22" xr:uid="{710EA558-E45E-405A-88A1-F17D79E58726}">
      <formula1>"✔, ✘"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MATRIZ DE RESULTADOS ODS4</vt:lpstr>
      <vt:lpstr>MATRIZ DE RESULTADOS ODS10</vt:lpstr>
      <vt:lpstr>MATRIZ DE RESULTADOS ODS12</vt:lpstr>
      <vt:lpstr>MATRIZ DE RESULTADOS ODS13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Quinchimba</dc:creator>
  <cp:lastModifiedBy>Javier Quinchimba</cp:lastModifiedBy>
  <dcterms:created xsi:type="dcterms:W3CDTF">2026-07-12T16:19:08Z</dcterms:created>
  <dcterms:modified xsi:type="dcterms:W3CDTF">2026-07-14T02:05:09Z</dcterms:modified>
</cp:coreProperties>
</file>